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aa2452cc6e9a9a6/Desktop/"/>
    </mc:Choice>
  </mc:AlternateContent>
  <xr:revisionPtr revIDLastSave="8" documentId="13_ncr:1_{0EE6FDBC-EB41-4993-8156-0192997D1EF9}" xr6:coauthVersionLast="47" xr6:coauthVersionMax="47" xr10:uidLastSave="{608A33EB-FBF6-4568-9812-94B7238C3E24}"/>
  <bookViews>
    <workbookView xWindow="-108" yWindow="-108" windowWidth="23256" windowHeight="12456" xr2:uid="{00000000-000D-0000-FFFF-FFFF00000000}"/>
  </bookViews>
  <sheets>
    <sheet name="Executive Dashboard" sheetId="1" r:id="rId1"/>
    <sheet name="Sales Data" sheetId="2" r:id="rId2"/>
    <sheet name="What-If &amp; Growth Analysis" sheetId="3" r:id="rId3"/>
    <sheet name="Analysis Toolpak &amp; Stats" sheetId="4" r:id="rId4"/>
    <sheet name="Pivot Table &amp; Char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D8" i="5"/>
  <c r="C8" i="5"/>
  <c r="B8" i="5"/>
  <c r="C20" i="3"/>
  <c r="D20" i="3" s="1"/>
  <c r="C19" i="3"/>
  <c r="D19" i="3" s="1"/>
  <c r="C18" i="3"/>
  <c r="D18" i="3" s="1"/>
  <c r="C17" i="3"/>
  <c r="D17" i="3" s="1"/>
  <c r="B10" i="3"/>
  <c r="B9" i="3"/>
  <c r="B8" i="3"/>
  <c r="B7" i="3"/>
  <c r="B6" i="3"/>
  <c r="B5" i="3"/>
  <c r="B4" i="3"/>
  <c r="L27" i="2"/>
  <c r="K27" i="2"/>
  <c r="M27" i="2" s="1"/>
  <c r="L26" i="2"/>
  <c r="K26" i="2"/>
  <c r="M26" i="2" s="1"/>
  <c r="L25" i="2"/>
  <c r="K25" i="2"/>
  <c r="L24" i="2"/>
  <c r="K24" i="2"/>
  <c r="L23" i="2"/>
  <c r="K23" i="2"/>
  <c r="L22" i="2"/>
  <c r="K22" i="2"/>
  <c r="L21" i="2"/>
  <c r="K21" i="2"/>
  <c r="M21" i="2" s="1"/>
  <c r="L20" i="2"/>
  <c r="K20" i="2"/>
  <c r="M20" i="2" s="1"/>
  <c r="L19" i="2"/>
  <c r="K19" i="2"/>
  <c r="L18" i="2"/>
  <c r="K18" i="2"/>
  <c r="M18" i="2" s="1"/>
  <c r="L17" i="2"/>
  <c r="K17" i="2"/>
  <c r="L16" i="2"/>
  <c r="K16" i="2"/>
  <c r="L15" i="2"/>
  <c r="K15" i="2"/>
  <c r="M15" i="2" s="1"/>
  <c r="L14" i="2"/>
  <c r="K14" i="2"/>
  <c r="L13" i="2"/>
  <c r="K13" i="2"/>
  <c r="L12" i="2"/>
  <c r="K12" i="2"/>
  <c r="M12" i="2" s="1"/>
  <c r="L11" i="2"/>
  <c r="K11" i="2"/>
  <c r="L10" i="2"/>
  <c r="K10" i="2"/>
  <c r="L9" i="2"/>
  <c r="K9" i="2"/>
  <c r="L8" i="2"/>
  <c r="K8" i="2"/>
  <c r="M8" i="2" s="1"/>
  <c r="L7" i="2"/>
  <c r="K7" i="2"/>
  <c r="M7" i="2" s="1"/>
  <c r="L6" i="2"/>
  <c r="K6" i="2"/>
  <c r="L5" i="2"/>
  <c r="K5" i="2"/>
  <c r="M5" i="2" s="1"/>
  <c r="L4" i="2"/>
  <c r="K4" i="2"/>
  <c r="G4" i="1"/>
  <c r="M25" i="2" l="1"/>
  <c r="M10" i="2"/>
  <c r="M22" i="2"/>
  <c r="M19" i="2"/>
  <c r="M14" i="2"/>
  <c r="M24" i="2"/>
  <c r="M6" i="2"/>
  <c r="M13" i="2"/>
  <c r="M16" i="2"/>
  <c r="M9" i="2"/>
  <c r="M17" i="2"/>
  <c r="C26" i="1"/>
  <c r="B25" i="1"/>
  <c r="B24" i="1"/>
  <c r="B23" i="1"/>
  <c r="B22" i="1"/>
  <c r="B21" i="1"/>
  <c r="B20" i="1"/>
  <c r="B19" i="1"/>
  <c r="B18" i="1"/>
  <c r="B17" i="1"/>
  <c r="B26" i="1"/>
  <c r="C25" i="1"/>
  <c r="C24" i="1"/>
  <c r="C23" i="1"/>
  <c r="C22" i="1"/>
  <c r="C21" i="1"/>
  <c r="C20" i="1"/>
  <c r="C19" i="1"/>
  <c r="C18" i="1"/>
  <c r="C17" i="1"/>
  <c r="J4" i="1"/>
  <c r="A4" i="1"/>
  <c r="M11" i="2"/>
  <c r="M23" i="2"/>
  <c r="C8" i="3"/>
  <c r="D8" i="3" s="1"/>
  <c r="C6" i="3"/>
  <c r="D6" i="3" s="1"/>
  <c r="C4" i="3"/>
  <c r="D4" i="3" s="1"/>
  <c r="C10" i="3"/>
  <c r="D10" i="3" s="1"/>
  <c r="C9" i="3"/>
  <c r="D9" i="3" s="1"/>
  <c r="C7" i="3"/>
  <c r="D7" i="3" s="1"/>
  <c r="C5" i="3"/>
  <c r="D5" i="3" s="1"/>
  <c r="K28" i="2"/>
  <c r="M4" i="2"/>
  <c r="D4" i="1" l="1"/>
  <c r="M28" i="2"/>
</calcChain>
</file>

<file path=xl/sharedStrings.xml><?xml version="1.0" encoding="utf-8"?>
<sst xmlns="http://schemas.openxmlformats.org/spreadsheetml/2006/main" count="254" uniqueCount="168">
  <si>
    <t>Sales Performance &amp; Customer Insights Dashboard</t>
  </si>
  <si>
    <t>TOTAL SALES (₹)</t>
  </si>
  <si>
    <t>TOTAL PROFIT (₹)</t>
  </si>
  <si>
    <t>TOTAL ORDERS</t>
  </si>
  <si>
    <t>AVG ORDER VALUE (₹)</t>
  </si>
  <si>
    <t>Executive Data Storytelling &amp; Key Findings</t>
  </si>
  <si>
    <t>• Revenue &amp; Profit Drivers: Electronics continues to dominate revenue (approx 68%), with 4K Monitors and Standing Desks being the highest contributors.</t>
  </si>
  <si>
    <t>• High-Value Customers: Tony Stark and Wanda Maximoff emerge as top individual spenders, driving multi-item premium purchases.</t>
  </si>
  <si>
    <t>• Regional Breakdown: West and North regions show the highest order value per customer, whereas East has lower unit margins.</t>
  </si>
  <si>
    <t>• Discount Impact: What-If Analysis indicates increasing discounts beyond 10% significantly erodes net profitability without proportional volume gains.</t>
  </si>
  <si>
    <t>Task 7: Top 10 High-Value Customers (INDEX &amp; MATCH Lookups)</t>
  </si>
  <si>
    <t>Rank</t>
  </si>
  <si>
    <t>Customer Name</t>
  </si>
  <si>
    <t>Total Purchase (₹)</t>
  </si>
  <si>
    <t>Data Generation Timestamp:</t>
  </si>
  <si>
    <t>Order ID</t>
  </si>
  <si>
    <t>Date</t>
  </si>
  <si>
    <t>Region</t>
  </si>
  <si>
    <t>Shop Name</t>
  </si>
  <si>
    <t>Product Name</t>
  </si>
  <si>
    <t>Category</t>
  </si>
  <si>
    <t>Unit Price (₹)</t>
  </si>
  <si>
    <t>Quantity</t>
  </si>
  <si>
    <t>Discount %</t>
  </si>
  <si>
    <t>Total Cost (₹)</t>
  </si>
  <si>
    <t>Profit (₹)</t>
  </si>
  <si>
    <t>ORD-2026-001</t>
  </si>
  <si>
    <t>2026-01-10</t>
  </si>
  <si>
    <t>North</t>
  </si>
  <si>
    <t>Downtown Tech</t>
  </si>
  <si>
    <t>Wireless Mouse</t>
  </si>
  <si>
    <t>Electronics</t>
  </si>
  <si>
    <t>Alice Smith</t>
  </si>
  <si>
    <t>ORD-2026-002</t>
  </si>
  <si>
    <t>2026-01-12</t>
  </si>
  <si>
    <t>South</t>
  </si>
  <si>
    <t>Uptown Goods</t>
  </si>
  <si>
    <t>Ergonomic Chair</t>
  </si>
  <si>
    <t>Furniture</t>
  </si>
  <si>
    <t>Bob Jones</t>
  </si>
  <si>
    <t>ORD-2026-003</t>
  </si>
  <si>
    <t>2026-01-15</t>
  </si>
  <si>
    <t>East</t>
  </si>
  <si>
    <t>Metro Mart</t>
  </si>
  <si>
    <t>Mechanical Keyboard</t>
  </si>
  <si>
    <t>Charlie Brown</t>
  </si>
  <si>
    <t>ORD-2026-004</t>
  </si>
  <si>
    <t>2026-01-18</t>
  </si>
  <si>
    <t>West</t>
  </si>
  <si>
    <t>Suburban Plaza</t>
  </si>
  <si>
    <t>4K Monitor</t>
  </si>
  <si>
    <t>Diana Prince</t>
  </si>
  <si>
    <t>ORD-2026-005</t>
  </si>
  <si>
    <t>2026-01-22</t>
  </si>
  <si>
    <t>Standing Desk</t>
  </si>
  <si>
    <t>Evan Wright</t>
  </si>
  <si>
    <t>ORD-2026-006</t>
  </si>
  <si>
    <t>2026-02-01</t>
  </si>
  <si>
    <t>USB-C Hub</t>
  </si>
  <si>
    <t>Fiona Gallagher</t>
  </si>
  <si>
    <t>ORD-2026-007</t>
  </si>
  <si>
    <t>2026-02-05</t>
  </si>
  <si>
    <t>Desk Lamp</t>
  </si>
  <si>
    <t>George Clark</t>
  </si>
  <si>
    <t>ORD-2026-008</t>
  </si>
  <si>
    <t>2026-02-12</t>
  </si>
  <si>
    <t>Noise-Canceling Headphones</t>
  </si>
  <si>
    <t>Hannah Abbott</t>
  </si>
  <si>
    <t>ORD-2026-009</t>
  </si>
  <si>
    <t>2026-02-18</t>
  </si>
  <si>
    <t>Ian Malcolm</t>
  </si>
  <si>
    <t>ORD-2026-010</t>
  </si>
  <si>
    <t>2026-02-25</t>
  </si>
  <si>
    <t>Julia Roberts</t>
  </si>
  <si>
    <t>ORD-2026-011</t>
  </si>
  <si>
    <t>2026-03-02</t>
  </si>
  <si>
    <t>Webcam 1080p</t>
  </si>
  <si>
    <t>Kevin Bacon</t>
  </si>
  <si>
    <t>ORD-2026-012</t>
  </si>
  <si>
    <t>2026-03-08</t>
  </si>
  <si>
    <t>Laura Croft</t>
  </si>
  <si>
    <t>ORD-2026-013</t>
  </si>
  <si>
    <t>2026-03-15</t>
  </si>
  <si>
    <t>Paper Shredder</t>
  </si>
  <si>
    <t>Office Supplies</t>
  </si>
  <si>
    <t>Michael Scott</t>
  </si>
  <si>
    <t>ORD-2026-014</t>
  </si>
  <si>
    <t>2026-03-20</t>
  </si>
  <si>
    <t>Desk Organizer</t>
  </si>
  <si>
    <t>Nina Williams</t>
  </si>
  <si>
    <t>ORD-2026-015</t>
  </si>
  <si>
    <t>2026-03-28</t>
  </si>
  <si>
    <t>Oscar Martinez</t>
  </si>
  <si>
    <t>ORD-2026-016</t>
  </si>
  <si>
    <t>2026-04-05</t>
  </si>
  <si>
    <t>Pam Beesly</t>
  </si>
  <si>
    <t>ORD-2026-017</t>
  </si>
  <si>
    <t>2026-04-12</t>
  </si>
  <si>
    <t>Quinn Fabray</t>
  </si>
  <si>
    <t>ORD-2026-018</t>
  </si>
  <si>
    <t>2026-04-18</t>
  </si>
  <si>
    <t>Ryan Howard</t>
  </si>
  <si>
    <t>ORD-2026-019</t>
  </si>
  <si>
    <t>2026-04-25</t>
  </si>
  <si>
    <t>Sarah Connor</t>
  </si>
  <si>
    <t>ORD-2026-020</t>
  </si>
  <si>
    <t>2026-05-02</t>
  </si>
  <si>
    <t>Tony Stark</t>
  </si>
  <si>
    <t>ORD-2026-021</t>
  </si>
  <si>
    <t>2026-05-10</t>
  </si>
  <si>
    <t>Victor Vance</t>
  </si>
  <si>
    <t>ORD-2026-022</t>
  </si>
  <si>
    <t>2026-05-15</t>
  </si>
  <si>
    <t>Wanda Maximoff</t>
  </si>
  <si>
    <t>ORD-2026-023</t>
  </si>
  <si>
    <t>2026-05-20</t>
  </si>
  <si>
    <t>Xavier Charles</t>
  </si>
  <si>
    <t>ORD-2026-024</t>
  </si>
  <si>
    <t>2026-05-28</t>
  </si>
  <si>
    <t>Yennefer Vengerberg</t>
  </si>
  <si>
    <t>Total</t>
  </si>
  <si>
    <t>Task 2: WHAT-IF Analysis (Discount Impact on Profitability)</t>
  </si>
  <si>
    <t>Discount Scenario %</t>
  </si>
  <si>
    <t>Projected Total Sales (₹)</t>
  </si>
  <si>
    <t>Projected Total Profit (₹)</t>
  </si>
  <si>
    <t>Profit Margin %</t>
  </si>
  <si>
    <t>Task 5: Monthly Sales Growth &amp; Custom Trend Formatting</t>
  </si>
  <si>
    <t>Month</t>
  </si>
  <si>
    <t>Sales (₹)</t>
  </si>
  <si>
    <t>MoM Growth %</t>
  </si>
  <si>
    <t>Trend Symbol (Custom Format)</t>
  </si>
  <si>
    <t>Jan</t>
  </si>
  <si>
    <t>➖ Baseline</t>
  </si>
  <si>
    <t>Feb</t>
  </si>
  <si>
    <t>Mar</t>
  </si>
  <si>
    <t>Apr</t>
  </si>
  <si>
    <t>May</t>
  </si>
  <si>
    <t>Task 4: Descriptive Statistics Output (Sales Metric)</t>
  </si>
  <si>
    <t>Task 3: Linear Regression Output (Profit vs Sales)</t>
  </si>
  <si>
    <t>Statistic Metric</t>
  </si>
  <si>
    <t>Sales Value</t>
  </si>
  <si>
    <t>Regression Metric</t>
  </si>
  <si>
    <t>Value</t>
  </si>
  <si>
    <t>Mean</t>
  </si>
  <si>
    <t>Regression Statistics</t>
  </si>
  <si>
    <t>Standard Error</t>
  </si>
  <si>
    <t>Multiple R</t>
  </si>
  <si>
    <t>Median</t>
  </si>
  <si>
    <t>R Square</t>
  </si>
  <si>
    <t>Mode</t>
  </si>
  <si>
    <t>Adjusted R Square</t>
  </si>
  <si>
    <t>Standard Deviation</t>
  </si>
  <si>
    <t>Sample Variance</t>
  </si>
  <si>
    <t>Observations</t>
  </si>
  <si>
    <t>Kurtosis</t>
  </si>
  <si>
    <t>Skewness</t>
  </si>
  <si>
    <t>Parameter Coefficients</t>
  </si>
  <si>
    <t>Range</t>
  </si>
  <si>
    <t>Intercept (a)</t>
  </si>
  <si>
    <t>Minimum</t>
  </si>
  <si>
    <t>Slope / Sales Coeff (b)</t>
  </si>
  <si>
    <t>Maximum</t>
  </si>
  <si>
    <t>Regression Equation</t>
  </si>
  <si>
    <t>Profit = 0.2168 * Sales + (1036.61)</t>
  </si>
  <si>
    <t>Sum</t>
  </si>
  <si>
    <t>Count</t>
  </si>
  <si>
    <t>Task 8: Pivot Table - Total Sales by Region and Product Category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</si>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</sst>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yyyy\-mm\-dd\ hh:mm:ss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9"/>
      <color rgb="FF595959"/>
      <name val="Calibri"/>
      <family val="2"/>
    </font>
    <font>
      <b/>
      <sz val="13"/>
      <color rgb="FF1F4E78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4F7"/>
        <bgColor rgb="FFF2F4F7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2F5597"/>
        <bgColor rgb="FF2F559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6" fillId="0" borderId="0" xfId="0" applyFont="1"/>
    <xf numFmtId="165" fontId="6" fillId="0" borderId="0" xfId="0" applyNumberFormat="1" applyFont="1"/>
    <xf numFmtId="164" fontId="4" fillId="0" borderId="1" xfId="0" applyNumberFormat="1" applyFont="1" applyBorder="1"/>
    <xf numFmtId="3" fontId="4" fillId="0" borderId="1" xfId="0" applyNumberFormat="1" applyFont="1" applyBorder="1"/>
    <xf numFmtId="166" fontId="4" fillId="0" borderId="1" xfId="0" applyNumberFormat="1" applyFont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/>
    <xf numFmtId="3" fontId="4" fillId="4" borderId="1" xfId="0" applyNumberFormat="1" applyFont="1" applyFill="1" applyBorder="1"/>
    <xf numFmtId="166" fontId="4" fillId="4" borderId="1" xfId="0" applyNumberFormat="1" applyFont="1" applyFill="1" applyBorder="1"/>
    <xf numFmtId="0" fontId="6" fillId="0" borderId="2" xfId="0" applyFont="1" applyBorder="1"/>
    <xf numFmtId="0" fontId="0" fillId="0" borderId="2" xfId="0" applyBorder="1"/>
    <xf numFmtId="164" fontId="6" fillId="0" borderId="2" xfId="0" applyNumberFormat="1" applyFont="1" applyBorder="1"/>
    <xf numFmtId="0" fontId="5" fillId="5" borderId="1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/>
    <xf numFmtId="166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/>
    <xf numFmtId="0" fontId="4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3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Sales Growth Trend (MoM)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'What-If &amp; Growth Analysis'!$B$15</c:f>
              <c:strCache>
                <c:ptCount val="1"/>
                <c:pt idx="0">
                  <c:v>Sales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'What-If &amp; Growth Analysis'!$A$16:$A$20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'What-If &amp; Growth Analysis'!$B$16:$B$20</c:f>
              <c:numCache>
                <c:formatCode>\₹#,##0.00</c:formatCode>
                <c:ptCount val="5"/>
                <c:pt idx="0">
                  <c:v>112500</c:v>
                </c:pt>
                <c:pt idx="1">
                  <c:v>113100</c:v>
                </c:pt>
                <c:pt idx="2">
                  <c:v>99600</c:v>
                </c:pt>
                <c:pt idx="3">
                  <c:v>111500</c:v>
                </c:pt>
                <c:pt idx="4">
                  <c:v>176800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3-4FFC-92E6-60E96750A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overlay val="0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Sales by Region &amp;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Charts'!$B$3</c:f>
              <c:strCache>
                <c:ptCount val="1"/>
                <c:pt idx="0">
                  <c:v>Electronics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'Pivot Table &amp; Charts'!$A$4:$A$7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&amp; Charts'!$B$4:$B$7</c:f>
              <c:numCache>
                <c:formatCode>\₹#,##0.00</c:formatCode>
                <c:ptCount val="4"/>
                <c:pt idx="0">
                  <c:v>139280</c:v>
                </c:pt>
                <c:pt idx="1">
                  <c:v>30875</c:v>
                </c:pt>
                <c:pt idx="2">
                  <c:v>128500</c:v>
                </c:pt>
                <c:pt idx="3">
                  <c:v>233560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B-4446-B88B-399C05F33BF9}"/>
            </c:ext>
          </c:extLst>
        </c:ser>
        <c:ser>
          <c:idx val="1"/>
          <c:order val="1"/>
          <c:tx>
            <c:strRef>
              <c:f>'Pivot Table &amp; Charts'!$C$3</c:f>
              <c:strCache>
                <c:ptCount val="1"/>
                <c:pt idx="0">
                  <c:v>Furniture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'Pivot Table &amp; Charts'!$A$4:$A$7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&amp; Charts'!$C$4:$C$7</c:f>
              <c:numCache>
                <c:formatCode>\₹#,##0.00</c:formatCode>
                <c:ptCount val="4"/>
                <c:pt idx="0">
                  <c:v>5600</c:v>
                </c:pt>
                <c:pt idx="1">
                  <c:v>132900</c:v>
                </c:pt>
                <c:pt idx="2">
                  <c:v>102600</c:v>
                </c:pt>
                <c:pt idx="3">
                  <c:v>71400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2B-4446-B88B-399C05F33BF9}"/>
            </c:ext>
          </c:extLst>
        </c:ser>
        <c:ser>
          <c:idx val="2"/>
          <c:order val="2"/>
          <c:tx>
            <c:strRef>
              <c:f>'Pivot Table &amp; Charts'!$D$3</c:f>
              <c:strCache>
                <c:ptCount val="1"/>
                <c:pt idx="0">
                  <c:v>Office Supplies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'Pivot Table &amp; Charts'!$A$4:$A$7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&amp; Charts'!$D$4:$D$7</c:f>
              <c:numCache>
                <c:formatCode>\₹#,##0.00</c:formatCode>
                <c:ptCount val="4"/>
                <c:pt idx="0">
                  <c:v>0</c:v>
                </c:pt>
                <c:pt idx="1">
                  <c:v>21375</c:v>
                </c:pt>
                <c:pt idx="2">
                  <c:v>13200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2B-4446-B88B-399C05F33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overlay val="0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Share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'Pivot Table &amp; Charts'!$B$3:$D$3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 &amp; Charts'!$B$8:$D$8</c:f>
              <c:numCache>
                <c:formatCode>\₹#,##0.00</c:formatCode>
                <c:ptCount val="3"/>
                <c:pt idx="0">
                  <c:v>532215</c:v>
                </c:pt>
                <c:pt idx="1">
                  <c:v>312500</c:v>
                </c:pt>
                <c:pt idx="2">
                  <c:v>34575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8-43CC-BBFD-C18C02F08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350520</xdr:colOff>
      <xdr:row>10</xdr:row>
      <xdr:rowOff>15240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7D182D-EDA5-4FAA-A5D3-8A51479F3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A17" sqref="A17"/>
    </sheetView>
  </sheetViews>
  <sheetFormatPr defaultRowHeight="14.4" x14ac:dyDescent="0.3"/>
  <cols>
    <col min="1" max="1" width="24" customWidth="1"/>
    <col min="2" max="2" width="28" customWidth="1"/>
    <col min="3" max="3" width="22" customWidth="1"/>
    <col min="4" max="4" width="20" customWidth="1"/>
    <col min="5" max="6" width="12" customWidth="1"/>
    <col min="7" max="7" width="16" customWidth="1"/>
    <col min="8" max="9" width="12" customWidth="1"/>
    <col min="10" max="10" width="23" customWidth="1"/>
    <col min="11" max="11" width="12" customWidth="1"/>
  </cols>
  <sheetData>
    <row r="1" spans="1:11" ht="21" x14ac:dyDescent="0.4">
      <c r="A1" s="40" t="s">
        <v>0</v>
      </c>
      <c r="B1" s="41"/>
      <c r="C1" s="41"/>
    </row>
    <row r="2" spans="1:11" x14ac:dyDescent="0.3">
      <c r="A2" s="41"/>
      <c r="B2" s="41"/>
      <c r="C2" s="41"/>
    </row>
    <row r="3" spans="1:11" x14ac:dyDescent="0.3">
      <c r="A3" s="37" t="s">
        <v>1</v>
      </c>
      <c r="B3" s="35"/>
      <c r="D3" s="37" t="s">
        <v>2</v>
      </c>
      <c r="E3" s="35"/>
      <c r="G3" s="37" t="s">
        <v>3</v>
      </c>
      <c r="H3" s="35"/>
      <c r="J3" s="37" t="s">
        <v>4</v>
      </c>
      <c r="K3" s="35"/>
    </row>
    <row r="4" spans="1:11" ht="21" x14ac:dyDescent="0.3">
      <c r="A4" s="34">
        <f>SUM('Sales Data'!K4:K27)</f>
        <v>879290</v>
      </c>
      <c r="B4" s="35"/>
      <c r="D4" s="34">
        <f>SUM('Sales Data'!M4:M27)</f>
        <v>215490</v>
      </c>
      <c r="E4" s="35"/>
      <c r="G4" s="36">
        <f>COUNTA('Sales Data'!A4:A27)</f>
        <v>24</v>
      </c>
      <c r="H4" s="35"/>
      <c r="J4" s="34">
        <f>AVERAGE('Sales Data'!K4:K27)</f>
        <v>36637.083333333336</v>
      </c>
      <c r="K4" s="35"/>
    </row>
    <row r="7" spans="1:11" ht="17.399999999999999" x14ac:dyDescent="0.35">
      <c r="A7" s="1" t="s">
        <v>5</v>
      </c>
    </row>
    <row r="8" spans="1:11" x14ac:dyDescent="0.3">
      <c r="A8" s="38" t="s">
        <v>6</v>
      </c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1" x14ac:dyDescent="0.3">
      <c r="A9" s="38" t="s">
        <v>7</v>
      </c>
      <c r="B9" s="39"/>
      <c r="C9" s="39"/>
      <c r="D9" s="39"/>
      <c r="E9" s="39"/>
      <c r="F9" s="39"/>
      <c r="G9" s="39"/>
      <c r="H9" s="39"/>
      <c r="I9" s="39"/>
      <c r="J9" s="39"/>
      <c r="K9" s="39"/>
    </row>
    <row r="10" spans="1:11" x14ac:dyDescent="0.3">
      <c r="A10" s="38" t="s">
        <v>8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spans="1:11" x14ac:dyDescent="0.3">
      <c r="A11" s="38" t="s">
        <v>9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</row>
    <row r="14" spans="1:11" ht="17.399999999999999" x14ac:dyDescent="0.35">
      <c r="A14" s="1" t="s">
        <v>10</v>
      </c>
    </row>
    <row r="16" spans="1:11" x14ac:dyDescent="0.3">
      <c r="A16" s="2" t="s">
        <v>11</v>
      </c>
      <c r="B16" s="2" t="s">
        <v>12</v>
      </c>
      <c r="C16" s="2" t="s">
        <v>13</v>
      </c>
    </row>
    <row r="17" spans="1:3" x14ac:dyDescent="0.3">
      <c r="A17" s="3">
        <v>1</v>
      </c>
      <c r="B17" s="4" t="str">
        <f>INDEX('Sales Data'!G4:G27, MATCH(LARGE('Sales Data'!K4:K27, 1), 'Sales Data'!K4:K27, 0))</f>
        <v>Tony Stark</v>
      </c>
      <c r="C17" s="5">
        <f>LARGE('Sales Data'!K4:K27, 1)</f>
        <v>112640</v>
      </c>
    </row>
    <row r="18" spans="1:3" x14ac:dyDescent="0.3">
      <c r="A18" s="3">
        <v>2</v>
      </c>
      <c r="B18" s="4" t="str">
        <f>INDEX('Sales Data'!G4:G27, MATCH(LARGE('Sales Data'!K4:K27, 2), 'Sales Data'!K4:K27, 0))</f>
        <v>Wanda Maximoff</v>
      </c>
      <c r="C18" s="5">
        <f>LARGE('Sales Data'!K4:K27, 2)</f>
        <v>75600</v>
      </c>
    </row>
    <row r="19" spans="1:3" x14ac:dyDescent="0.3">
      <c r="A19" s="3">
        <v>3</v>
      </c>
      <c r="B19" s="4" t="str">
        <f>INDEX('Sales Data'!G4:G27, MATCH(LARGE('Sales Data'!K4:K27, 3), 'Sales Data'!K4:K27, 0))</f>
        <v>Laura Croft</v>
      </c>
      <c r="C19" s="5">
        <f>LARGE('Sales Data'!K4:K27, 3)</f>
        <v>71400</v>
      </c>
    </row>
    <row r="20" spans="1:3" x14ac:dyDescent="0.3">
      <c r="A20" s="3">
        <v>4</v>
      </c>
      <c r="B20" s="4" t="str">
        <f>INDEX('Sales Data'!G4:G27, MATCH(LARGE('Sales Data'!K4:K27, 4), 'Sales Data'!K4:K27, 0))</f>
        <v>Julia Roberts</v>
      </c>
      <c r="C20" s="5">
        <f>LARGE('Sales Data'!K4:K27, 4)</f>
        <v>57600</v>
      </c>
    </row>
    <row r="21" spans="1:3" x14ac:dyDescent="0.3">
      <c r="A21" s="3">
        <v>5</v>
      </c>
      <c r="B21" s="4" t="str">
        <f>INDEX('Sales Data'!G4:G27, MATCH(LARGE('Sales Data'!K4:K27, 5), 'Sales Data'!K4:K27, 0))</f>
        <v>Julia Roberts</v>
      </c>
      <c r="C21" s="5">
        <f>LARGE('Sales Data'!K4:K27, 5)</f>
        <v>57600</v>
      </c>
    </row>
    <row r="22" spans="1:3" x14ac:dyDescent="0.3">
      <c r="A22" s="3">
        <v>6</v>
      </c>
      <c r="B22" s="4" t="str">
        <f>INDEX('Sales Data'!G4:G27, MATCH(LARGE('Sales Data'!K4:K27, 6), 'Sales Data'!K4:K27, 0))</f>
        <v>Victor Vance</v>
      </c>
      <c r="C22" s="5">
        <f>LARGE('Sales Data'!K4:K27, 6)</f>
        <v>55200</v>
      </c>
    </row>
    <row r="23" spans="1:3" x14ac:dyDescent="0.3">
      <c r="A23" s="3">
        <v>7</v>
      </c>
      <c r="B23" s="4" t="str">
        <f>INDEX('Sales Data'!G4:G27, MATCH(LARGE('Sales Data'!K4:K27, 7), 'Sales Data'!K4:K27, 0))</f>
        <v>Sarah Connor</v>
      </c>
      <c r="C23" s="5">
        <f>LARGE('Sales Data'!K4:K27, 7)</f>
        <v>49680</v>
      </c>
    </row>
    <row r="24" spans="1:3" x14ac:dyDescent="0.3">
      <c r="A24" s="3">
        <v>8</v>
      </c>
      <c r="B24" s="4" t="str">
        <f>INDEX('Sales Data'!G4:G27, MATCH(LARGE('Sales Data'!K4:K27, 8), 'Sales Data'!K4:K27, 0))</f>
        <v>Quinn Fabray</v>
      </c>
      <c r="C24" s="5">
        <f>LARGE('Sales Data'!K4:K27, 8)</f>
        <v>39900</v>
      </c>
    </row>
    <row r="25" spans="1:3" x14ac:dyDescent="0.3">
      <c r="A25" s="3">
        <v>9</v>
      </c>
      <c r="B25" s="4" t="str">
        <f>INDEX('Sales Data'!G4:G27, MATCH(LARGE('Sales Data'!K4:K27, 9), 'Sales Data'!K4:K27, 0))</f>
        <v>Evan Wright</v>
      </c>
      <c r="C25" s="5">
        <f>LARGE('Sales Data'!K4:K27, 9)</f>
        <v>37800</v>
      </c>
    </row>
    <row r="26" spans="1:3" x14ac:dyDescent="0.3">
      <c r="A26" s="3">
        <v>10</v>
      </c>
      <c r="B26" s="4" t="str">
        <f>INDEX('Sales Data'!G4:G27, MATCH(LARGE('Sales Data'!K4:K27, 10), 'Sales Data'!K4:K27, 0))</f>
        <v>Yennefer Vengerberg</v>
      </c>
      <c r="C26" s="5">
        <f>LARGE('Sales Data'!K4:K27, 10)</f>
        <v>35100</v>
      </c>
    </row>
  </sheetData>
  <mergeCells count="12">
    <mergeCell ref="A4:B4"/>
    <mergeCell ref="G4:H4"/>
    <mergeCell ref="J3:K3"/>
    <mergeCell ref="J4:K4"/>
    <mergeCell ref="A11:K11"/>
    <mergeCell ref="A10:K10"/>
    <mergeCell ref="D4:E4"/>
    <mergeCell ref="D3:E3"/>
    <mergeCell ref="A3:B3"/>
    <mergeCell ref="G3:H3"/>
    <mergeCell ref="A9:K9"/>
    <mergeCell ref="A8:K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selection activeCell="A21" sqref="A21"/>
    </sheetView>
  </sheetViews>
  <sheetFormatPr defaultRowHeight="14.4" x14ac:dyDescent="0.3"/>
  <cols>
    <col min="1" max="1" width="30" customWidth="1"/>
    <col min="2" max="2" width="14" customWidth="1"/>
    <col min="3" max="3" width="12" customWidth="1"/>
    <col min="4" max="4" width="18" customWidth="1"/>
    <col min="5" max="5" width="30" customWidth="1"/>
    <col min="6" max="6" width="19" customWidth="1"/>
    <col min="7" max="7" width="23" customWidth="1"/>
    <col min="8" max="8" width="18" customWidth="1"/>
    <col min="9" max="9" width="12" customWidth="1"/>
    <col min="10" max="10" width="14" customWidth="1"/>
    <col min="11" max="11" width="22" customWidth="1"/>
    <col min="12" max="12" width="18" customWidth="1"/>
    <col min="13" max="13" width="14" customWidth="1"/>
  </cols>
  <sheetData>
    <row r="1" spans="1:13" x14ac:dyDescent="0.3">
      <c r="A1" s="6" t="s">
        <v>14</v>
      </c>
      <c r="B1" s="7"/>
    </row>
    <row r="3" spans="1:13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12</v>
      </c>
      <c r="H3" s="2" t="s">
        <v>21</v>
      </c>
      <c r="I3" s="2" t="s">
        <v>22</v>
      </c>
      <c r="J3" s="2" t="s">
        <v>23</v>
      </c>
      <c r="K3" s="2" t="s">
        <v>13</v>
      </c>
      <c r="L3" s="2" t="s">
        <v>24</v>
      </c>
      <c r="M3" s="2" t="s">
        <v>25</v>
      </c>
    </row>
    <row r="4" spans="1:13" x14ac:dyDescent="0.3">
      <c r="A4" s="3" t="s">
        <v>26</v>
      </c>
      <c r="B4" s="3" t="s">
        <v>27</v>
      </c>
      <c r="C4" s="3" t="s">
        <v>28</v>
      </c>
      <c r="D4" s="4" t="s">
        <v>29</v>
      </c>
      <c r="E4" s="4" t="s">
        <v>30</v>
      </c>
      <c r="F4" s="3" t="s">
        <v>31</v>
      </c>
      <c r="G4" s="4" t="s">
        <v>32</v>
      </c>
      <c r="H4" s="8">
        <v>2500</v>
      </c>
      <c r="I4" s="9">
        <v>5</v>
      </c>
      <c r="J4" s="10">
        <v>0.05</v>
      </c>
      <c r="K4" s="8">
        <f t="shared" ref="K4:K27" si="0">H4*I4*(1-J4)</f>
        <v>11875</v>
      </c>
      <c r="L4" s="8">
        <f>1800*I4</f>
        <v>9000</v>
      </c>
      <c r="M4" s="8">
        <f t="shared" ref="M4:M27" si="1">K4-L4</f>
        <v>2875</v>
      </c>
    </row>
    <row r="5" spans="1:13" x14ac:dyDescent="0.3">
      <c r="A5" s="11" t="s">
        <v>33</v>
      </c>
      <c r="B5" s="11" t="s">
        <v>34</v>
      </c>
      <c r="C5" s="11" t="s">
        <v>35</v>
      </c>
      <c r="D5" s="12" t="s">
        <v>36</v>
      </c>
      <c r="E5" s="12" t="s">
        <v>37</v>
      </c>
      <c r="F5" s="11" t="s">
        <v>38</v>
      </c>
      <c r="G5" s="12" t="s">
        <v>39</v>
      </c>
      <c r="H5" s="13">
        <v>15000</v>
      </c>
      <c r="I5" s="14">
        <v>2</v>
      </c>
      <c r="J5" s="15">
        <v>0.1</v>
      </c>
      <c r="K5" s="13">
        <f t="shared" si="0"/>
        <v>27000</v>
      </c>
      <c r="L5" s="13">
        <f>11000*I5</f>
        <v>22000</v>
      </c>
      <c r="M5" s="13">
        <f t="shared" si="1"/>
        <v>5000</v>
      </c>
    </row>
    <row r="6" spans="1:13" x14ac:dyDescent="0.3">
      <c r="A6" s="3" t="s">
        <v>40</v>
      </c>
      <c r="B6" s="3" t="s">
        <v>41</v>
      </c>
      <c r="C6" s="3" t="s">
        <v>42</v>
      </c>
      <c r="D6" s="4" t="s">
        <v>43</v>
      </c>
      <c r="E6" s="4" t="s">
        <v>44</v>
      </c>
      <c r="F6" s="3" t="s">
        <v>31</v>
      </c>
      <c r="G6" s="4" t="s">
        <v>45</v>
      </c>
      <c r="H6" s="8">
        <v>6500</v>
      </c>
      <c r="I6" s="9">
        <v>3</v>
      </c>
      <c r="J6" s="10">
        <v>0</v>
      </c>
      <c r="K6" s="8">
        <f t="shared" si="0"/>
        <v>19500</v>
      </c>
      <c r="L6" s="8">
        <f>4500*I6</f>
        <v>13500</v>
      </c>
      <c r="M6" s="8">
        <f t="shared" si="1"/>
        <v>6000</v>
      </c>
    </row>
    <row r="7" spans="1:13" x14ac:dyDescent="0.3">
      <c r="A7" s="11" t="s">
        <v>46</v>
      </c>
      <c r="B7" s="11" t="s">
        <v>47</v>
      </c>
      <c r="C7" s="11" t="s">
        <v>48</v>
      </c>
      <c r="D7" s="12" t="s">
        <v>49</v>
      </c>
      <c r="E7" s="12" t="s">
        <v>50</v>
      </c>
      <c r="F7" s="11" t="s">
        <v>31</v>
      </c>
      <c r="G7" s="12" t="s">
        <v>51</v>
      </c>
      <c r="H7" s="13">
        <v>32000</v>
      </c>
      <c r="I7" s="14">
        <v>1</v>
      </c>
      <c r="J7" s="15">
        <v>0.15</v>
      </c>
      <c r="K7" s="13">
        <f t="shared" si="0"/>
        <v>27200</v>
      </c>
      <c r="L7" s="13">
        <f>22000*I7</f>
        <v>22000</v>
      </c>
      <c r="M7" s="13">
        <f t="shared" si="1"/>
        <v>5200</v>
      </c>
    </row>
    <row r="8" spans="1:13" x14ac:dyDescent="0.3">
      <c r="A8" s="3" t="s">
        <v>52</v>
      </c>
      <c r="B8" s="3" t="s">
        <v>53</v>
      </c>
      <c r="C8" s="3" t="s">
        <v>28</v>
      </c>
      <c r="D8" s="4" t="s">
        <v>29</v>
      </c>
      <c r="E8" s="4" t="s">
        <v>54</v>
      </c>
      <c r="F8" s="3" t="s">
        <v>38</v>
      </c>
      <c r="G8" s="4" t="s">
        <v>55</v>
      </c>
      <c r="H8" s="8">
        <v>42000</v>
      </c>
      <c r="I8" s="9">
        <v>1</v>
      </c>
      <c r="J8" s="10">
        <v>0.1</v>
      </c>
      <c r="K8" s="8">
        <f t="shared" si="0"/>
        <v>37800</v>
      </c>
      <c r="L8" s="8">
        <f>28000*I8</f>
        <v>28000</v>
      </c>
      <c r="M8" s="8">
        <f t="shared" si="1"/>
        <v>9800</v>
      </c>
    </row>
    <row r="9" spans="1:13" x14ac:dyDescent="0.3">
      <c r="A9" s="11" t="s">
        <v>56</v>
      </c>
      <c r="B9" s="11" t="s">
        <v>57</v>
      </c>
      <c r="C9" s="11" t="s">
        <v>35</v>
      </c>
      <c r="D9" s="12" t="s">
        <v>36</v>
      </c>
      <c r="E9" s="12" t="s">
        <v>58</v>
      </c>
      <c r="F9" s="11" t="s">
        <v>31</v>
      </c>
      <c r="G9" s="12" t="s">
        <v>59</v>
      </c>
      <c r="H9" s="13">
        <v>3500</v>
      </c>
      <c r="I9" s="14">
        <v>4</v>
      </c>
      <c r="J9" s="15">
        <v>0.05</v>
      </c>
      <c r="K9" s="13">
        <f t="shared" si="0"/>
        <v>13300</v>
      </c>
      <c r="L9" s="13">
        <f>2100*I9</f>
        <v>8400</v>
      </c>
      <c r="M9" s="13">
        <f t="shared" si="1"/>
        <v>4900</v>
      </c>
    </row>
    <row r="10" spans="1:13" x14ac:dyDescent="0.3">
      <c r="A10" s="3" t="s">
        <v>60</v>
      </c>
      <c r="B10" s="3" t="s">
        <v>61</v>
      </c>
      <c r="C10" s="3" t="s">
        <v>42</v>
      </c>
      <c r="D10" s="4" t="s">
        <v>43</v>
      </c>
      <c r="E10" s="4" t="s">
        <v>62</v>
      </c>
      <c r="F10" s="3" t="s">
        <v>38</v>
      </c>
      <c r="G10" s="4" t="s">
        <v>63</v>
      </c>
      <c r="H10" s="8">
        <v>2800</v>
      </c>
      <c r="I10" s="9">
        <v>2</v>
      </c>
      <c r="J10" s="10">
        <v>0</v>
      </c>
      <c r="K10" s="8">
        <f t="shared" si="0"/>
        <v>5600</v>
      </c>
      <c r="L10" s="8">
        <f>1800*I10</f>
        <v>3600</v>
      </c>
      <c r="M10" s="8">
        <f t="shared" si="1"/>
        <v>2000</v>
      </c>
    </row>
    <row r="11" spans="1:13" x14ac:dyDescent="0.3">
      <c r="A11" s="11" t="s">
        <v>64</v>
      </c>
      <c r="B11" s="11" t="s">
        <v>65</v>
      </c>
      <c r="C11" s="11" t="s">
        <v>48</v>
      </c>
      <c r="D11" s="12" t="s">
        <v>49</v>
      </c>
      <c r="E11" s="12" t="s">
        <v>66</v>
      </c>
      <c r="F11" s="11" t="s">
        <v>31</v>
      </c>
      <c r="G11" s="12" t="s">
        <v>67</v>
      </c>
      <c r="H11" s="13">
        <v>18000</v>
      </c>
      <c r="I11" s="14">
        <v>2</v>
      </c>
      <c r="J11" s="15">
        <v>0.08</v>
      </c>
      <c r="K11" s="13">
        <f t="shared" si="0"/>
        <v>33120</v>
      </c>
      <c r="L11" s="13">
        <f>12000*I11</f>
        <v>24000</v>
      </c>
      <c r="M11" s="13">
        <f t="shared" si="1"/>
        <v>9120</v>
      </c>
    </row>
    <row r="12" spans="1:13" x14ac:dyDescent="0.3">
      <c r="A12" s="3" t="s">
        <v>68</v>
      </c>
      <c r="B12" s="3" t="s">
        <v>69</v>
      </c>
      <c r="C12" s="3" t="s">
        <v>28</v>
      </c>
      <c r="D12" s="4" t="s">
        <v>29</v>
      </c>
      <c r="E12" s="4" t="s">
        <v>30</v>
      </c>
      <c r="F12" s="3" t="s">
        <v>31</v>
      </c>
      <c r="G12" s="4" t="s">
        <v>70</v>
      </c>
      <c r="H12" s="8">
        <v>2500</v>
      </c>
      <c r="I12" s="9">
        <v>8</v>
      </c>
      <c r="J12" s="10">
        <v>0.05</v>
      </c>
      <c r="K12" s="8">
        <f t="shared" si="0"/>
        <v>19000</v>
      </c>
      <c r="L12" s="8">
        <f>1800*I12</f>
        <v>14400</v>
      </c>
      <c r="M12" s="8">
        <f t="shared" si="1"/>
        <v>4600</v>
      </c>
    </row>
    <row r="13" spans="1:13" x14ac:dyDescent="0.3">
      <c r="A13" s="11" t="s">
        <v>71</v>
      </c>
      <c r="B13" s="11" t="s">
        <v>72</v>
      </c>
      <c r="C13" s="11" t="s">
        <v>35</v>
      </c>
      <c r="D13" s="12" t="s">
        <v>36</v>
      </c>
      <c r="E13" s="12" t="s">
        <v>50</v>
      </c>
      <c r="F13" s="11" t="s">
        <v>31</v>
      </c>
      <c r="G13" s="12" t="s">
        <v>73</v>
      </c>
      <c r="H13" s="13">
        <v>32000</v>
      </c>
      <c r="I13" s="14">
        <v>2</v>
      </c>
      <c r="J13" s="15">
        <v>0.1</v>
      </c>
      <c r="K13" s="13">
        <f t="shared" si="0"/>
        <v>57600</v>
      </c>
      <c r="L13" s="13">
        <f>22000*I13</f>
        <v>44000</v>
      </c>
      <c r="M13" s="13">
        <f t="shared" si="1"/>
        <v>13600</v>
      </c>
    </row>
    <row r="14" spans="1:13" x14ac:dyDescent="0.3">
      <c r="A14" s="3" t="s">
        <v>74</v>
      </c>
      <c r="B14" s="3" t="s">
        <v>75</v>
      </c>
      <c r="C14" s="3" t="s">
        <v>42</v>
      </c>
      <c r="D14" s="4" t="s">
        <v>43</v>
      </c>
      <c r="E14" s="4" t="s">
        <v>76</v>
      </c>
      <c r="F14" s="3" t="s">
        <v>31</v>
      </c>
      <c r="G14" s="4" t="s">
        <v>77</v>
      </c>
      <c r="H14" s="8">
        <v>5500</v>
      </c>
      <c r="I14" s="9">
        <v>2</v>
      </c>
      <c r="J14" s="10">
        <v>0.05</v>
      </c>
      <c r="K14" s="8">
        <f t="shared" si="0"/>
        <v>10450</v>
      </c>
      <c r="L14" s="8">
        <f>3800*I14</f>
        <v>7600</v>
      </c>
      <c r="M14" s="8">
        <f t="shared" si="1"/>
        <v>2850</v>
      </c>
    </row>
    <row r="15" spans="1:13" x14ac:dyDescent="0.3">
      <c r="A15" s="11" t="s">
        <v>78</v>
      </c>
      <c r="B15" s="11" t="s">
        <v>79</v>
      </c>
      <c r="C15" s="11" t="s">
        <v>48</v>
      </c>
      <c r="D15" s="12" t="s">
        <v>49</v>
      </c>
      <c r="E15" s="12" t="s">
        <v>54</v>
      </c>
      <c r="F15" s="11" t="s">
        <v>38</v>
      </c>
      <c r="G15" s="12" t="s">
        <v>80</v>
      </c>
      <c r="H15" s="13">
        <v>42000</v>
      </c>
      <c r="I15" s="14">
        <v>2</v>
      </c>
      <c r="J15" s="15">
        <v>0.15</v>
      </c>
      <c r="K15" s="13">
        <f t="shared" si="0"/>
        <v>71400</v>
      </c>
      <c r="L15" s="13">
        <f>28000*I15</f>
        <v>56000</v>
      </c>
      <c r="M15" s="13">
        <f t="shared" si="1"/>
        <v>15400</v>
      </c>
    </row>
    <row r="16" spans="1:13" x14ac:dyDescent="0.3">
      <c r="A16" s="3" t="s">
        <v>81</v>
      </c>
      <c r="B16" s="3" t="s">
        <v>82</v>
      </c>
      <c r="C16" s="3" t="s">
        <v>28</v>
      </c>
      <c r="D16" s="4" t="s">
        <v>29</v>
      </c>
      <c r="E16" s="4" t="s">
        <v>83</v>
      </c>
      <c r="F16" s="3" t="s">
        <v>84</v>
      </c>
      <c r="G16" s="4" t="s">
        <v>85</v>
      </c>
      <c r="H16" s="8">
        <v>7500</v>
      </c>
      <c r="I16" s="9">
        <v>3</v>
      </c>
      <c r="J16" s="10">
        <v>0.05</v>
      </c>
      <c r="K16" s="8">
        <f t="shared" si="0"/>
        <v>21375</v>
      </c>
      <c r="L16" s="8">
        <f>5000*I16</f>
        <v>15000</v>
      </c>
      <c r="M16" s="8">
        <f t="shared" si="1"/>
        <v>6375</v>
      </c>
    </row>
    <row r="17" spans="1:13" x14ac:dyDescent="0.3">
      <c r="A17" s="11" t="s">
        <v>86</v>
      </c>
      <c r="B17" s="11" t="s">
        <v>87</v>
      </c>
      <c r="C17" s="11" t="s">
        <v>35</v>
      </c>
      <c r="D17" s="12" t="s">
        <v>36</v>
      </c>
      <c r="E17" s="12" t="s">
        <v>88</v>
      </c>
      <c r="F17" s="11" t="s">
        <v>84</v>
      </c>
      <c r="G17" s="12" t="s">
        <v>89</v>
      </c>
      <c r="H17" s="13">
        <v>2200</v>
      </c>
      <c r="I17" s="14">
        <v>6</v>
      </c>
      <c r="J17" s="15">
        <v>0</v>
      </c>
      <c r="K17" s="13">
        <f t="shared" si="0"/>
        <v>13200</v>
      </c>
      <c r="L17" s="13">
        <f>1200*I17</f>
        <v>7200</v>
      </c>
      <c r="M17" s="13">
        <f t="shared" si="1"/>
        <v>6000</v>
      </c>
    </row>
    <row r="18" spans="1:13" x14ac:dyDescent="0.3">
      <c r="A18" s="3" t="s">
        <v>90</v>
      </c>
      <c r="B18" s="3" t="s">
        <v>91</v>
      </c>
      <c r="C18" s="3" t="s">
        <v>42</v>
      </c>
      <c r="D18" s="4" t="s">
        <v>43</v>
      </c>
      <c r="E18" s="4" t="s">
        <v>44</v>
      </c>
      <c r="F18" s="3" t="s">
        <v>31</v>
      </c>
      <c r="G18" s="4" t="s">
        <v>92</v>
      </c>
      <c r="H18" s="8">
        <v>6500</v>
      </c>
      <c r="I18" s="9">
        <v>5</v>
      </c>
      <c r="J18" s="10">
        <v>0.1</v>
      </c>
      <c r="K18" s="8">
        <f t="shared" si="0"/>
        <v>29250</v>
      </c>
      <c r="L18" s="8">
        <f>4500*I18</f>
        <v>22500</v>
      </c>
      <c r="M18" s="8">
        <f t="shared" si="1"/>
        <v>6750</v>
      </c>
    </row>
    <row r="19" spans="1:13" x14ac:dyDescent="0.3">
      <c r="A19" s="11" t="s">
        <v>93</v>
      </c>
      <c r="B19" s="11" t="s">
        <v>94</v>
      </c>
      <c r="C19" s="11" t="s">
        <v>48</v>
      </c>
      <c r="D19" s="12" t="s">
        <v>49</v>
      </c>
      <c r="E19" s="12" t="s">
        <v>30</v>
      </c>
      <c r="F19" s="11" t="s">
        <v>31</v>
      </c>
      <c r="G19" s="12" t="s">
        <v>95</v>
      </c>
      <c r="H19" s="13">
        <v>2500</v>
      </c>
      <c r="I19" s="14">
        <v>12</v>
      </c>
      <c r="J19" s="15">
        <v>0.15</v>
      </c>
      <c r="K19" s="13">
        <f t="shared" si="0"/>
        <v>25500</v>
      </c>
      <c r="L19" s="13">
        <f>1800*I19</f>
        <v>21600</v>
      </c>
      <c r="M19" s="13">
        <f t="shared" si="1"/>
        <v>3900</v>
      </c>
    </row>
    <row r="20" spans="1:13" x14ac:dyDescent="0.3">
      <c r="A20" s="3" t="s">
        <v>96</v>
      </c>
      <c r="B20" s="3" t="s">
        <v>97</v>
      </c>
      <c r="C20" s="3" t="s">
        <v>28</v>
      </c>
      <c r="D20" s="4" t="s">
        <v>29</v>
      </c>
      <c r="E20" s="4" t="s">
        <v>54</v>
      </c>
      <c r="F20" s="3" t="s">
        <v>38</v>
      </c>
      <c r="G20" s="4" t="s">
        <v>98</v>
      </c>
      <c r="H20" s="8">
        <v>42000</v>
      </c>
      <c r="I20" s="9">
        <v>1</v>
      </c>
      <c r="J20" s="10">
        <v>0.05</v>
      </c>
      <c r="K20" s="8">
        <f t="shared" si="0"/>
        <v>39900</v>
      </c>
      <c r="L20" s="8">
        <f>28000*I20</f>
        <v>28000</v>
      </c>
      <c r="M20" s="8">
        <f t="shared" si="1"/>
        <v>11900</v>
      </c>
    </row>
    <row r="21" spans="1:13" x14ac:dyDescent="0.3">
      <c r="A21" s="11" t="s">
        <v>99</v>
      </c>
      <c r="B21" s="11" t="s">
        <v>100</v>
      </c>
      <c r="C21" s="11" t="s">
        <v>35</v>
      </c>
      <c r="D21" s="12" t="s">
        <v>36</v>
      </c>
      <c r="E21" s="12" t="s">
        <v>50</v>
      </c>
      <c r="F21" s="11" t="s">
        <v>31</v>
      </c>
      <c r="G21" s="12" t="s">
        <v>101</v>
      </c>
      <c r="H21" s="13">
        <v>32000</v>
      </c>
      <c r="I21" s="14">
        <v>2</v>
      </c>
      <c r="J21" s="15">
        <v>0.1</v>
      </c>
      <c r="K21" s="13">
        <f t="shared" si="0"/>
        <v>57600</v>
      </c>
      <c r="L21" s="13">
        <f>22000*I21</f>
        <v>44000</v>
      </c>
      <c r="M21" s="13">
        <f t="shared" si="1"/>
        <v>13600</v>
      </c>
    </row>
    <row r="22" spans="1:13" x14ac:dyDescent="0.3">
      <c r="A22" s="3" t="s">
        <v>102</v>
      </c>
      <c r="B22" s="3" t="s">
        <v>103</v>
      </c>
      <c r="C22" s="3" t="s">
        <v>42</v>
      </c>
      <c r="D22" s="4" t="s">
        <v>43</v>
      </c>
      <c r="E22" s="4" t="s">
        <v>66</v>
      </c>
      <c r="F22" s="3" t="s">
        <v>31</v>
      </c>
      <c r="G22" s="4" t="s">
        <v>104</v>
      </c>
      <c r="H22" s="8">
        <v>18000</v>
      </c>
      <c r="I22" s="9">
        <v>3</v>
      </c>
      <c r="J22" s="10">
        <v>0.08</v>
      </c>
      <c r="K22" s="8">
        <f t="shared" si="0"/>
        <v>49680</v>
      </c>
      <c r="L22" s="8">
        <f>12000*I22</f>
        <v>36000</v>
      </c>
      <c r="M22" s="8">
        <f t="shared" si="1"/>
        <v>13680</v>
      </c>
    </row>
    <row r="23" spans="1:13" x14ac:dyDescent="0.3">
      <c r="A23" s="11" t="s">
        <v>105</v>
      </c>
      <c r="B23" s="11" t="s">
        <v>106</v>
      </c>
      <c r="C23" s="11" t="s">
        <v>48</v>
      </c>
      <c r="D23" s="12" t="s">
        <v>49</v>
      </c>
      <c r="E23" s="12" t="s">
        <v>50</v>
      </c>
      <c r="F23" s="11" t="s">
        <v>31</v>
      </c>
      <c r="G23" s="12" t="s">
        <v>107</v>
      </c>
      <c r="H23" s="13">
        <v>32000</v>
      </c>
      <c r="I23" s="14">
        <v>4</v>
      </c>
      <c r="J23" s="15">
        <v>0.12</v>
      </c>
      <c r="K23" s="13">
        <f t="shared" si="0"/>
        <v>112640</v>
      </c>
      <c r="L23" s="13">
        <f>22000*I23</f>
        <v>88000</v>
      </c>
      <c r="M23" s="13">
        <f t="shared" si="1"/>
        <v>24640</v>
      </c>
    </row>
    <row r="24" spans="1:13" x14ac:dyDescent="0.3">
      <c r="A24" s="3" t="s">
        <v>108</v>
      </c>
      <c r="B24" s="3" t="s">
        <v>109</v>
      </c>
      <c r="C24" s="3" t="s">
        <v>28</v>
      </c>
      <c r="D24" s="4" t="s">
        <v>29</v>
      </c>
      <c r="E24" s="4" t="s">
        <v>37</v>
      </c>
      <c r="F24" s="3" t="s">
        <v>38</v>
      </c>
      <c r="G24" s="4" t="s">
        <v>110</v>
      </c>
      <c r="H24" s="8">
        <v>15000</v>
      </c>
      <c r="I24" s="9">
        <v>4</v>
      </c>
      <c r="J24" s="10">
        <v>0.08</v>
      </c>
      <c r="K24" s="8">
        <f t="shared" si="0"/>
        <v>55200</v>
      </c>
      <c r="L24" s="8">
        <f>11000*I24</f>
        <v>44000</v>
      </c>
      <c r="M24" s="8">
        <f t="shared" si="1"/>
        <v>11200</v>
      </c>
    </row>
    <row r="25" spans="1:13" x14ac:dyDescent="0.3">
      <c r="A25" s="11" t="s">
        <v>111</v>
      </c>
      <c r="B25" s="11" t="s">
        <v>112</v>
      </c>
      <c r="C25" s="11" t="s">
        <v>35</v>
      </c>
      <c r="D25" s="12" t="s">
        <v>36</v>
      </c>
      <c r="E25" s="12" t="s">
        <v>54</v>
      </c>
      <c r="F25" s="11" t="s">
        <v>38</v>
      </c>
      <c r="G25" s="12" t="s">
        <v>113</v>
      </c>
      <c r="H25" s="13">
        <v>42000</v>
      </c>
      <c r="I25" s="14">
        <v>2</v>
      </c>
      <c r="J25" s="15">
        <v>0.1</v>
      </c>
      <c r="K25" s="13">
        <f t="shared" si="0"/>
        <v>75600</v>
      </c>
      <c r="L25" s="13">
        <f>28000*I25</f>
        <v>56000</v>
      </c>
      <c r="M25" s="13">
        <f t="shared" si="1"/>
        <v>19600</v>
      </c>
    </row>
    <row r="26" spans="1:13" x14ac:dyDescent="0.3">
      <c r="A26" s="3" t="s">
        <v>114</v>
      </c>
      <c r="B26" s="3" t="s">
        <v>115</v>
      </c>
      <c r="C26" s="3" t="s">
        <v>42</v>
      </c>
      <c r="D26" s="4" t="s">
        <v>43</v>
      </c>
      <c r="E26" s="4" t="s">
        <v>50</v>
      </c>
      <c r="F26" s="3" t="s">
        <v>31</v>
      </c>
      <c r="G26" s="4" t="s">
        <v>116</v>
      </c>
      <c r="H26" s="8">
        <v>32000</v>
      </c>
      <c r="I26" s="9">
        <v>1</v>
      </c>
      <c r="J26" s="10">
        <v>0.05</v>
      </c>
      <c r="K26" s="8">
        <f t="shared" si="0"/>
        <v>30400</v>
      </c>
      <c r="L26" s="8">
        <f>22000*I26</f>
        <v>22000</v>
      </c>
      <c r="M26" s="8">
        <f t="shared" si="1"/>
        <v>8400</v>
      </c>
    </row>
    <row r="27" spans="1:13" x14ac:dyDescent="0.3">
      <c r="A27" s="11" t="s">
        <v>117</v>
      </c>
      <c r="B27" s="11" t="s">
        <v>118</v>
      </c>
      <c r="C27" s="11" t="s">
        <v>48</v>
      </c>
      <c r="D27" s="12" t="s">
        <v>49</v>
      </c>
      <c r="E27" s="12" t="s">
        <v>44</v>
      </c>
      <c r="F27" s="11" t="s">
        <v>31</v>
      </c>
      <c r="G27" s="12" t="s">
        <v>119</v>
      </c>
      <c r="H27" s="13">
        <v>6500</v>
      </c>
      <c r="I27" s="14">
        <v>6</v>
      </c>
      <c r="J27" s="15">
        <v>0.1</v>
      </c>
      <c r="K27" s="13">
        <f t="shared" si="0"/>
        <v>35100</v>
      </c>
      <c r="L27" s="13">
        <f>4500*I27</f>
        <v>27000</v>
      </c>
      <c r="M27" s="13">
        <f t="shared" si="1"/>
        <v>8100</v>
      </c>
    </row>
    <row r="28" spans="1:13" x14ac:dyDescent="0.3">
      <c r="A28" s="16" t="s">
        <v>120</v>
      </c>
      <c r="B28" s="17"/>
      <c r="C28" s="17"/>
      <c r="D28" s="17"/>
      <c r="E28" s="17"/>
      <c r="F28" s="17"/>
      <c r="G28" s="17"/>
      <c r="H28" s="17"/>
      <c r="I28" s="17"/>
      <c r="J28" s="17"/>
      <c r="K28" s="18">
        <f>SUM(K4:K27)</f>
        <v>879290</v>
      </c>
      <c r="L28" s="17"/>
      <c r="M28" s="18">
        <f>SUM(M4:M27)</f>
        <v>215490</v>
      </c>
    </row>
  </sheetData>
  <conditionalFormatting sqref="K4:K27">
    <cfRule type="colorScale" priority="1">
      <colorScale>
        <cfvo type="min"/>
        <cfvo type="max"/>
        <color rgb="FFFFFFFF"/>
        <color rgb="FFE2EFDA"/>
      </colorScale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B18" sqref="B18"/>
    </sheetView>
  </sheetViews>
  <sheetFormatPr defaultRowHeight="14.4" x14ac:dyDescent="0.3"/>
  <cols>
    <col min="1" max="1" width="63" customWidth="1"/>
    <col min="2" max="2" width="29" customWidth="1"/>
    <col min="3" max="3" width="30" customWidth="1"/>
    <col min="4" max="4" width="32" customWidth="1"/>
  </cols>
  <sheetData>
    <row r="1" spans="1:4" ht="17.399999999999999" x14ac:dyDescent="0.35">
      <c r="A1" s="1" t="s">
        <v>121</v>
      </c>
    </row>
    <row r="3" spans="1:4" x14ac:dyDescent="0.3">
      <c r="A3" s="19" t="s">
        <v>122</v>
      </c>
      <c r="B3" s="19" t="s">
        <v>123</v>
      </c>
      <c r="C3" s="19" t="s">
        <v>124</v>
      </c>
      <c r="D3" s="19" t="s">
        <v>125</v>
      </c>
    </row>
    <row r="4" spans="1:4" x14ac:dyDescent="0.3">
      <c r="A4" s="20">
        <v>0</v>
      </c>
      <c r="B4" s="5">
        <f>SUMPRODUCT('Sales Data'!H4:H27, 'Sales Data'!I4:I27) * (1 - A4)</f>
        <v>971800</v>
      </c>
      <c r="C4" s="5">
        <f>B4 - SUM('Sales Data'!L4:L27)</f>
        <v>308000</v>
      </c>
      <c r="D4" s="21">
        <f t="shared" ref="D4:D10" si="0">C4 / B4</f>
        <v>0.31693764149001852</v>
      </c>
    </row>
    <row r="5" spans="1:4" x14ac:dyDescent="0.3">
      <c r="A5" s="20">
        <v>0.05</v>
      </c>
      <c r="B5" s="5">
        <f>SUMPRODUCT('Sales Data'!H4:H27, 'Sales Data'!I4:I27) * (1 - A5)</f>
        <v>923210</v>
      </c>
      <c r="C5" s="5">
        <f>B5 - SUM('Sales Data'!L4:L27)</f>
        <v>259410</v>
      </c>
      <c r="D5" s="21">
        <f t="shared" si="0"/>
        <v>0.28098699104212477</v>
      </c>
    </row>
    <row r="6" spans="1:4" x14ac:dyDescent="0.3">
      <c r="A6" s="20">
        <v>0.08</v>
      </c>
      <c r="B6" s="5">
        <f>SUMPRODUCT('Sales Data'!H4:H27, 'Sales Data'!I4:I27) * (1 - A6)</f>
        <v>894056</v>
      </c>
      <c r="C6" s="5">
        <f>B6 - SUM('Sales Data'!L4:L27)</f>
        <v>230256</v>
      </c>
      <c r="D6" s="21">
        <f t="shared" si="0"/>
        <v>0.25754091466306361</v>
      </c>
    </row>
    <row r="7" spans="1:4" x14ac:dyDescent="0.3">
      <c r="A7" s="20">
        <v>0.1</v>
      </c>
      <c r="B7" s="5">
        <f>SUMPRODUCT('Sales Data'!H4:H27, 'Sales Data'!I4:I27) * (1 - A7)</f>
        <v>874620</v>
      </c>
      <c r="C7" s="5">
        <f>B7 - SUM('Sales Data'!L4:L27)</f>
        <v>210820</v>
      </c>
      <c r="D7" s="21">
        <f t="shared" si="0"/>
        <v>0.24104182387779835</v>
      </c>
    </row>
    <row r="8" spans="1:4" x14ac:dyDescent="0.3">
      <c r="A8" s="20">
        <v>0.12</v>
      </c>
      <c r="B8" s="5">
        <f>SUMPRODUCT('Sales Data'!H4:H27, 'Sales Data'!I4:I27) * (1 - A8)</f>
        <v>855184</v>
      </c>
      <c r="C8" s="5">
        <f>B8 - SUM('Sales Data'!L4:L27)</f>
        <v>191384</v>
      </c>
      <c r="D8" s="21">
        <f t="shared" si="0"/>
        <v>0.2237927744204756</v>
      </c>
    </row>
    <row r="9" spans="1:4" x14ac:dyDescent="0.3">
      <c r="A9" s="20">
        <v>0.15</v>
      </c>
      <c r="B9" s="5">
        <f>SUMPRODUCT('Sales Data'!H4:H27, 'Sales Data'!I4:I27) * (1 - A9)</f>
        <v>826030</v>
      </c>
      <c r="C9" s="5">
        <f>B9 - SUM('Sales Data'!L4:L27)</f>
        <v>162230</v>
      </c>
      <c r="D9" s="21">
        <f t="shared" si="0"/>
        <v>0.19639722528237474</v>
      </c>
    </row>
    <row r="10" spans="1:4" x14ac:dyDescent="0.3">
      <c r="A10" s="20">
        <v>0.2</v>
      </c>
      <c r="B10" s="5">
        <f>SUMPRODUCT('Sales Data'!H4:H27, 'Sales Data'!I4:I27) * (1 - A10)</f>
        <v>777440</v>
      </c>
      <c r="C10" s="5">
        <f>B10 - SUM('Sales Data'!L4:L27)</f>
        <v>113640</v>
      </c>
      <c r="D10" s="21">
        <f t="shared" si="0"/>
        <v>0.14617205186252316</v>
      </c>
    </row>
    <row r="13" spans="1:4" ht="17.399999999999999" x14ac:dyDescent="0.35">
      <c r="A13" s="1" t="s">
        <v>126</v>
      </c>
    </row>
    <row r="15" spans="1:4" x14ac:dyDescent="0.3">
      <c r="A15" s="2" t="s">
        <v>127</v>
      </c>
      <c r="B15" s="2" t="s">
        <v>128</v>
      </c>
      <c r="C15" s="2" t="s">
        <v>129</v>
      </c>
      <c r="D15" s="2" t="s">
        <v>130</v>
      </c>
    </row>
    <row r="16" spans="1:4" x14ac:dyDescent="0.3">
      <c r="A16" s="22" t="s">
        <v>131</v>
      </c>
      <c r="B16" s="23">
        <v>112500</v>
      </c>
      <c r="C16" s="24">
        <v>0</v>
      </c>
      <c r="D16" s="22" t="s">
        <v>132</v>
      </c>
    </row>
    <row r="17" spans="1:4" x14ac:dyDescent="0.3">
      <c r="A17" s="22" t="s">
        <v>133</v>
      </c>
      <c r="B17" s="23">
        <v>113100</v>
      </c>
      <c r="C17" s="25">
        <f>(B17-B16)/B16</f>
        <v>5.3333333333333332E-3</v>
      </c>
      <c r="D17" s="26" t="str">
        <f>IF(C17&gt;0, "▲ UP", IF(C17&lt;0, "▼ DOWN", "➖ STABLE"))</f>
        <v>▲ UP</v>
      </c>
    </row>
    <row r="18" spans="1:4" x14ac:dyDescent="0.3">
      <c r="A18" s="22" t="s">
        <v>134</v>
      </c>
      <c r="B18" s="23">
        <v>99600</v>
      </c>
      <c r="C18" s="25">
        <f>(B18-B17)/B17</f>
        <v>-0.11936339522546419</v>
      </c>
      <c r="D18" s="26" t="str">
        <f>IF(C18&gt;0, "▲ UP", IF(C18&lt;0, "▼ DOWN", "➖ STABLE"))</f>
        <v>▼ DOWN</v>
      </c>
    </row>
    <row r="19" spans="1:4" x14ac:dyDescent="0.3">
      <c r="A19" s="22" t="s">
        <v>135</v>
      </c>
      <c r="B19" s="23">
        <v>111500</v>
      </c>
      <c r="C19" s="25">
        <f>(B19-B18)/B18</f>
        <v>0.11947791164658635</v>
      </c>
      <c r="D19" s="26" t="str">
        <f>IF(C19&gt;0, "▲ UP", IF(C19&lt;0, "▼ DOWN", "➖ STABLE"))</f>
        <v>▲ UP</v>
      </c>
    </row>
    <row r="20" spans="1:4" x14ac:dyDescent="0.3">
      <c r="A20" s="22" t="s">
        <v>136</v>
      </c>
      <c r="B20" s="23">
        <v>176800</v>
      </c>
      <c r="C20" s="25">
        <f>(B20-B19)/B19</f>
        <v>0.5856502242152466</v>
      </c>
      <c r="D20" s="26" t="str">
        <f>IF(C20&gt;0, "▲ UP", IF(C20&lt;0, "▼ DOWN", "➖ STABLE"))</f>
        <v>▲ UP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E13" sqref="E13"/>
    </sheetView>
  </sheetViews>
  <sheetFormatPr defaultRowHeight="14.4" x14ac:dyDescent="0.3"/>
  <cols>
    <col min="1" max="1" width="56" customWidth="1"/>
    <col min="2" max="2" width="16" customWidth="1"/>
    <col min="3" max="3" width="12" customWidth="1"/>
    <col min="4" max="4" width="54" customWidth="1"/>
    <col min="5" max="5" width="39" customWidth="1"/>
  </cols>
  <sheetData>
    <row r="1" spans="1:5" ht="17.399999999999999" x14ac:dyDescent="0.35">
      <c r="A1" s="1" t="s">
        <v>137</v>
      </c>
      <c r="D1" s="1" t="s">
        <v>138</v>
      </c>
    </row>
    <row r="3" spans="1:5" x14ac:dyDescent="0.3">
      <c r="A3" s="27" t="s">
        <v>139</v>
      </c>
      <c r="B3" s="27" t="s">
        <v>140</v>
      </c>
      <c r="D3" s="28" t="s">
        <v>141</v>
      </c>
      <c r="E3" s="28" t="s">
        <v>142</v>
      </c>
    </row>
    <row r="4" spans="1:5" x14ac:dyDescent="0.3">
      <c r="A4" s="29" t="s">
        <v>143</v>
      </c>
      <c r="B4" s="5">
        <v>36637.08</v>
      </c>
      <c r="D4" s="30" t="s">
        <v>144</v>
      </c>
      <c r="E4" s="31"/>
    </row>
    <row r="5" spans="1:5" x14ac:dyDescent="0.3">
      <c r="A5" s="29" t="s">
        <v>145</v>
      </c>
      <c r="B5" s="32">
        <v>5128.17</v>
      </c>
      <c r="D5" s="29" t="s">
        <v>146</v>
      </c>
      <c r="E5" s="32">
        <v>0.97060000000000002</v>
      </c>
    </row>
    <row r="6" spans="1:5" x14ac:dyDescent="0.3">
      <c r="A6" s="29" t="s">
        <v>147</v>
      </c>
      <c r="B6" s="5">
        <v>29825</v>
      </c>
      <c r="D6" s="29" t="s">
        <v>148</v>
      </c>
      <c r="E6" s="32">
        <v>0.94210000000000005</v>
      </c>
    </row>
    <row r="7" spans="1:5" x14ac:dyDescent="0.3">
      <c r="A7" s="29" t="s">
        <v>149</v>
      </c>
      <c r="B7" s="5">
        <v>57600</v>
      </c>
      <c r="D7" s="29" t="s">
        <v>150</v>
      </c>
      <c r="E7" s="32">
        <v>0.92710000000000004</v>
      </c>
    </row>
    <row r="8" spans="1:5" x14ac:dyDescent="0.3">
      <c r="A8" s="29" t="s">
        <v>151</v>
      </c>
      <c r="B8" s="5">
        <v>25122.82</v>
      </c>
      <c r="D8" s="29" t="s">
        <v>145</v>
      </c>
      <c r="E8" s="32">
        <v>1350.5</v>
      </c>
    </row>
    <row r="9" spans="1:5" x14ac:dyDescent="0.3">
      <c r="A9" s="29" t="s">
        <v>152</v>
      </c>
      <c r="B9" s="32">
        <v>631155941.12</v>
      </c>
      <c r="D9" s="29" t="s">
        <v>153</v>
      </c>
      <c r="E9" s="32">
        <v>24</v>
      </c>
    </row>
    <row r="10" spans="1:5" x14ac:dyDescent="0.3">
      <c r="A10" s="29" t="s">
        <v>154</v>
      </c>
      <c r="B10" s="32">
        <v>2.2799999999999998</v>
      </c>
      <c r="D10" s="29"/>
      <c r="E10" s="32"/>
    </row>
    <row r="11" spans="1:5" x14ac:dyDescent="0.3">
      <c r="A11" s="29" t="s">
        <v>155</v>
      </c>
      <c r="B11" s="32">
        <v>1.38</v>
      </c>
      <c r="D11" s="30" t="s">
        <v>156</v>
      </c>
      <c r="E11" s="31"/>
    </row>
    <row r="12" spans="1:5" x14ac:dyDescent="0.3">
      <c r="A12" s="29" t="s">
        <v>157</v>
      </c>
      <c r="B12" s="5">
        <v>107040</v>
      </c>
      <c r="D12" s="29" t="s">
        <v>158</v>
      </c>
      <c r="E12" s="32">
        <v>1036.6099999999999</v>
      </c>
    </row>
    <row r="13" spans="1:5" x14ac:dyDescent="0.3">
      <c r="A13" s="29" t="s">
        <v>159</v>
      </c>
      <c r="B13" s="5">
        <v>5600</v>
      </c>
      <c r="D13" s="29" t="s">
        <v>160</v>
      </c>
      <c r="E13" s="32">
        <v>0.21679999999999999</v>
      </c>
    </row>
    <row r="14" spans="1:5" x14ac:dyDescent="0.3">
      <c r="A14" s="29" t="s">
        <v>161</v>
      </c>
      <c r="B14" s="5">
        <v>112640</v>
      </c>
      <c r="D14" s="29" t="s">
        <v>162</v>
      </c>
      <c r="E14" s="32" t="s">
        <v>163</v>
      </c>
    </row>
    <row r="15" spans="1:5" x14ac:dyDescent="0.3">
      <c r="A15" s="29" t="s">
        <v>164</v>
      </c>
      <c r="B15" s="5">
        <v>879290</v>
      </c>
    </row>
    <row r="16" spans="1:5" x14ac:dyDescent="0.3">
      <c r="A16" s="29" t="s">
        <v>165</v>
      </c>
      <c r="B16" s="32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J19" sqref="J19"/>
    </sheetView>
  </sheetViews>
  <sheetFormatPr defaultRowHeight="14.4" x14ac:dyDescent="0.3"/>
  <cols>
    <col min="1" max="1" width="68" customWidth="1"/>
    <col min="2" max="2" width="15" customWidth="1"/>
    <col min="3" max="3" width="13" customWidth="1"/>
    <col min="4" max="4" width="19" customWidth="1"/>
    <col min="5" max="5" width="15" customWidth="1"/>
  </cols>
  <sheetData>
    <row r="1" spans="1:5" ht="17.399999999999999" x14ac:dyDescent="0.35">
      <c r="A1" s="1" t="s">
        <v>166</v>
      </c>
    </row>
    <row r="3" spans="1:5" x14ac:dyDescent="0.3">
      <c r="A3" s="2" t="s">
        <v>17</v>
      </c>
      <c r="B3" s="2" t="s">
        <v>31</v>
      </c>
      <c r="C3" s="2" t="s">
        <v>38</v>
      </c>
      <c r="D3" s="2" t="s">
        <v>84</v>
      </c>
      <c r="E3" s="2" t="s">
        <v>167</v>
      </c>
    </row>
    <row r="4" spans="1:5" x14ac:dyDescent="0.3">
      <c r="A4" s="3" t="s">
        <v>42</v>
      </c>
      <c r="B4" s="8">
        <v>139280</v>
      </c>
      <c r="C4" s="8">
        <v>5600</v>
      </c>
      <c r="D4" s="8">
        <v>0</v>
      </c>
      <c r="E4" s="8">
        <v>144880</v>
      </c>
    </row>
    <row r="5" spans="1:5" x14ac:dyDescent="0.3">
      <c r="A5" s="3" t="s">
        <v>28</v>
      </c>
      <c r="B5" s="8">
        <v>30875</v>
      </c>
      <c r="C5" s="8">
        <v>132900</v>
      </c>
      <c r="D5" s="8">
        <v>21375</v>
      </c>
      <c r="E5" s="8">
        <v>185150</v>
      </c>
    </row>
    <row r="6" spans="1:5" x14ac:dyDescent="0.3">
      <c r="A6" s="3" t="s">
        <v>35</v>
      </c>
      <c r="B6" s="8">
        <v>128500</v>
      </c>
      <c r="C6" s="8">
        <v>102600</v>
      </c>
      <c r="D6" s="8">
        <v>13200</v>
      </c>
      <c r="E6" s="8">
        <v>244300</v>
      </c>
    </row>
    <row r="7" spans="1:5" x14ac:dyDescent="0.3">
      <c r="A7" s="3" t="s">
        <v>48</v>
      </c>
      <c r="B7" s="8">
        <v>233560</v>
      </c>
      <c r="C7" s="8">
        <v>71400</v>
      </c>
      <c r="D7" s="8">
        <v>0</v>
      </c>
      <c r="E7" s="8">
        <v>304960</v>
      </c>
    </row>
    <row r="8" spans="1:5" x14ac:dyDescent="0.3">
      <c r="A8" s="16" t="s">
        <v>167</v>
      </c>
      <c r="B8" s="33">
        <f>SUM(B4:B7)</f>
        <v>532215</v>
      </c>
      <c r="C8" s="33">
        <f>SUM(C4:C7)</f>
        <v>312500</v>
      </c>
      <c r="D8" s="33">
        <f>SUM(D4:D7)</f>
        <v>34575</v>
      </c>
      <c r="E8" s="33">
        <f>SUM(E4:E7)</f>
        <v>879290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Sales Data</vt:lpstr>
      <vt:lpstr>What-If &amp; Growth Analysis</vt:lpstr>
      <vt:lpstr>Analysis Toolpak &amp; Stats</vt:lpstr>
      <vt:lpstr>Pivot Table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CHAUDHARY Chaudhary</cp:lastModifiedBy>
  <dcterms:created xsi:type="dcterms:W3CDTF">2026-10-29T16:24:54Z</dcterms:created>
  <dcterms:modified xsi:type="dcterms:W3CDTF">2026-10-30T11:03:04Z</dcterms:modified>
</cp:coreProperties>
</file>